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charl\Desktop\Systematic Review\Virtual reality\"/>
    </mc:Choice>
  </mc:AlternateContent>
  <xr:revisionPtr revIDLastSave="0" documentId="13_ncr:1_{F1DB0331-4A89-4619-A5B3-F162571A0383}" xr6:coauthVersionLast="46" xr6:coauthVersionMax="46" xr10:uidLastSave="{00000000-0000-0000-0000-000000000000}"/>
  <bookViews>
    <workbookView xWindow="1720" yWindow="940" windowWidth="17480" windowHeight="8020" xr2:uid="{00000000-000D-0000-FFFF-FFFF00000000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" i="1" l="1"/>
  <c r="P4" i="1"/>
  <c r="M19" i="1"/>
  <c r="K19" i="1"/>
  <c r="K18" i="1"/>
  <c r="M18" i="1"/>
  <c r="M4" i="1"/>
  <c r="K4" i="1"/>
</calcChain>
</file>

<file path=xl/sharedStrings.xml><?xml version="1.0" encoding="utf-8"?>
<sst xmlns="http://schemas.openxmlformats.org/spreadsheetml/2006/main" count="89" uniqueCount="68">
  <si>
    <t xml:space="preserve">2. (Friedman, 2020) </t>
    <phoneticPr fontId="1" type="noConversion"/>
  </si>
  <si>
    <t>A pilot study of virtual reality as an alternative to pharmacological sedation during colonoscopy</t>
    <phoneticPr fontId="1" type="noConversion"/>
  </si>
  <si>
    <t>pain, satisfaction</t>
    <phoneticPr fontId="1" type="noConversion"/>
  </si>
  <si>
    <t>3. (Lee, 2003)</t>
    <phoneticPr fontId="1" type="noConversion"/>
  </si>
  <si>
    <t>Can visual distraction decrease the dose of patient-controlled sedation required during colonoscopy- A prospective randomized controlled trial</t>
    <phoneticPr fontId="1" type="noConversion"/>
  </si>
  <si>
    <t xml:space="preserve">1. (Silva, 2016) </t>
    <phoneticPr fontId="1" type="noConversion"/>
  </si>
  <si>
    <t>Effect of audio and visual distraction on patients undergoing colonoscopy- a randomized controlled study</t>
    <phoneticPr fontId="1" type="noConversion"/>
  </si>
  <si>
    <t xml:space="preserve">4. (Jiang, 2013) </t>
    <phoneticPr fontId="1" type="noConversion"/>
  </si>
  <si>
    <t>Effects of Visual and Audiovisual Distraction on Pain and Anxiety Among Patients Undergoing Colonoscopy</t>
    <phoneticPr fontId="1" type="noConversion"/>
  </si>
  <si>
    <t>Pain, Anxiety</t>
    <phoneticPr fontId="1" type="noConversion"/>
  </si>
  <si>
    <t xml:space="preserve">5. (Han, 2021) </t>
    <phoneticPr fontId="1" type="noConversion"/>
  </si>
  <si>
    <t xml:space="preserve">Improving the discomfort and satisfaction of colonoscopy by distraction with smartphones- A prospective randomized controlled study </t>
    <phoneticPr fontId="1" type="noConversion"/>
  </si>
  <si>
    <t xml:space="preserve">6. (Veldhuijzen, 2020) </t>
    <phoneticPr fontId="1" type="noConversion"/>
  </si>
  <si>
    <t>Virtual reality distraction for patients to relieve pain and discomfort during colonoscopy</t>
    <phoneticPr fontId="1" type="noConversion"/>
  </si>
  <si>
    <t xml:space="preserve">7. (Umezawa, 2015) </t>
    <phoneticPr fontId="1" type="noConversion"/>
  </si>
  <si>
    <t>Visual distraction alone for the improvement of colonoscopy-related pain and satisfaction</t>
    <phoneticPr fontId="1" type="noConversion"/>
  </si>
  <si>
    <t>with sound (smartphone)</t>
    <phoneticPr fontId="1" type="noConversion"/>
  </si>
  <si>
    <t>without sound (VR)</t>
    <phoneticPr fontId="1" type="noConversion"/>
  </si>
  <si>
    <t>with sound (VR)</t>
    <phoneticPr fontId="1" type="noConversion"/>
  </si>
  <si>
    <t>with/without sound (Portable 10.2" display)</t>
    <phoneticPr fontId="1" type="noConversion"/>
  </si>
  <si>
    <t>with sound (Glasses display)</t>
    <phoneticPr fontId="1" type="noConversion"/>
  </si>
  <si>
    <t>with/without sound (Glasses display)</t>
    <phoneticPr fontId="1" type="noConversion"/>
  </si>
  <si>
    <t>without sound (Glasses display)</t>
    <phoneticPr fontId="1" type="noConversion"/>
  </si>
  <si>
    <t>Experimental</t>
    <phoneticPr fontId="1" type="noConversion"/>
  </si>
  <si>
    <t>Outcome</t>
    <phoneticPr fontId="1" type="noConversion"/>
  </si>
  <si>
    <t>Scale</t>
    <phoneticPr fontId="1" type="noConversion"/>
  </si>
  <si>
    <t>n(VR)</t>
    <phoneticPr fontId="1" type="noConversion"/>
  </si>
  <si>
    <t>Value(VR)</t>
    <phoneticPr fontId="1" type="noConversion"/>
  </si>
  <si>
    <t>SD(VR)</t>
    <phoneticPr fontId="1" type="noConversion"/>
  </si>
  <si>
    <t>n(Control)</t>
    <phoneticPr fontId="1" type="noConversion"/>
  </si>
  <si>
    <t>Value(Control)</t>
    <phoneticPr fontId="1" type="noConversion"/>
  </si>
  <si>
    <t>SD(Control)</t>
    <phoneticPr fontId="1" type="noConversion"/>
  </si>
  <si>
    <t>P value</t>
    <phoneticPr fontId="1" type="noConversion"/>
  </si>
  <si>
    <t>&lt;0.001</t>
    <phoneticPr fontId="1" type="noConversion"/>
  </si>
  <si>
    <t>visual analog scale from 0 to 10</t>
    <phoneticPr fontId="1" type="noConversion"/>
  </si>
  <si>
    <t>&lt;0.05</t>
    <phoneticPr fontId="1" type="noConversion"/>
  </si>
  <si>
    <t>midazolam and meperidine is usually used to achieve sedation and analgesia during colonoscopy</t>
    <phoneticPr fontId="1" type="noConversion"/>
  </si>
  <si>
    <t>With Sound</t>
    <phoneticPr fontId="1" type="noConversion"/>
  </si>
  <si>
    <t>Without Sound</t>
    <phoneticPr fontId="1" type="noConversion"/>
  </si>
  <si>
    <t>&lt;0.01</t>
    <phoneticPr fontId="1" type="noConversion"/>
  </si>
  <si>
    <t>Notes</t>
    <phoneticPr fontId="1" type="noConversion"/>
  </si>
  <si>
    <t>Only given median (interquartile range)</t>
  </si>
  <si>
    <t>visual analog scale from 0 to 100mm</t>
    <phoneticPr fontId="1" type="noConversion"/>
  </si>
  <si>
    <t>https://bmcmedresmethodol.biomedcentral.com/articles/10.1186/1471-2288-5-13</t>
    <phoneticPr fontId="1" type="noConversion"/>
  </si>
  <si>
    <t>* mean=median and SD = IQR/1.35, assuming the overall distribution does not relevantly deviate from normal distribution</t>
    <phoneticPr fontId="1" type="noConversion"/>
  </si>
  <si>
    <t>Pain, pethidine, midazolam</t>
    <phoneticPr fontId="1" type="noConversion"/>
  </si>
  <si>
    <t>pain,  satisfaction, propofol</t>
  </si>
  <si>
    <t>Pain Level</t>
    <phoneticPr fontId="1" type="noConversion"/>
  </si>
  <si>
    <t>Trait Anxiety Level</t>
    <phoneticPr fontId="1" type="noConversion"/>
  </si>
  <si>
    <t>36,5</t>
    <phoneticPr fontId="1" type="noConversion"/>
  </si>
  <si>
    <t>Median(VR)</t>
    <phoneticPr fontId="1" type="noConversion"/>
  </si>
  <si>
    <t>q1(VR)</t>
    <phoneticPr fontId="1" type="noConversion"/>
  </si>
  <si>
    <t>q3(VR)</t>
    <phoneticPr fontId="1" type="noConversion"/>
  </si>
  <si>
    <t>Median(Control)</t>
    <phoneticPr fontId="1" type="noConversion"/>
  </si>
  <si>
    <t>q1(C)</t>
    <phoneticPr fontId="1" type="noConversion"/>
  </si>
  <si>
    <t>q3(C)</t>
    <phoneticPr fontId="1" type="noConversion"/>
  </si>
  <si>
    <t>pain, anxiety, satisfaction, HR</t>
    <phoneticPr fontId="1" type="noConversion"/>
  </si>
  <si>
    <t>Min</t>
    <phoneticPr fontId="1" type="noConversion"/>
  </si>
  <si>
    <t>Max</t>
    <phoneticPr fontId="1" type="noConversion"/>
  </si>
  <si>
    <t>Min</t>
    <phoneticPr fontId="1" type="noConversion"/>
  </si>
  <si>
    <t>Max</t>
    <phoneticPr fontId="1" type="noConversion"/>
  </si>
  <si>
    <t>State Anxiety Level (Pre-post difference)</t>
    <phoneticPr fontId="1" type="noConversion"/>
  </si>
  <si>
    <t>Pain, Anxiety, satisfaction, midazolam, alfentanyl</t>
    <phoneticPr fontId="1" type="noConversion"/>
  </si>
  <si>
    <t>All of the colonoscopies were performed without sedation.</t>
    <phoneticPr fontId="1" type="noConversion"/>
  </si>
  <si>
    <t>before colonoscopy, patients did not receive any kind of drug (including sedation)</t>
    <phoneticPr fontId="1" type="noConversion"/>
  </si>
  <si>
    <t>with sedation; (2) with the history of abdominal
and/or pelvic surgery; (3) with visual or hearing
disorders; and (4) having taken anxiolytic medication
or analgesic drugs in the previous 72 hours.</t>
    <phoneticPr fontId="1" type="noConversion"/>
  </si>
  <si>
    <t>Medication?</t>
    <phoneticPr fontId="1" type="noConversion"/>
  </si>
  <si>
    <t>Yes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</si>
</sst>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0" borderId="0" xfId="0" applyFill="1"/>
    <xf numFmtId="0" fontId="0" fillId="3" borderId="0" xfId="0" applyFill="1"/>
    <xf numFmtId="0" fontId="2" fillId="0" borderId="0" xfId="1"/>
    <xf numFmtId="0" fontId="0" fillId="4" borderId="0" xfId="0" applyFill="1"/>
    <xf numFmtId="0" fontId="0" fillId="0" borderId="0" xfId="0" applyAlignment="1">
      <alignment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mcmedresmethodol.biomedcentral.com/articles/10.1186/1471-2288-5-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5"/>
  <sheetViews>
    <sheetView tabSelected="1" zoomScaleNormal="100" workbookViewId="0">
      <selection activeCell="D5" sqref="D5"/>
    </sheetView>
  </sheetViews>
  <sheetFormatPr defaultRowHeight="14.5" x14ac:dyDescent="0.3"/>
  <cols>
    <col min="1" max="1" width="23.19921875" customWidth="1"/>
    <col min="2" max="2" width="23.5" customWidth="1"/>
    <col min="3" max="3" width="46.69921875" customWidth="1"/>
    <col min="4" max="5" width="51.69921875" customWidth="1"/>
    <col min="6" max="6" width="32.5" customWidth="1"/>
    <col min="7" max="7" width="6" customWidth="1"/>
    <col min="9" max="9" width="9.796875" customWidth="1"/>
    <col min="10" max="10" width="13" customWidth="1"/>
    <col min="12" max="12" width="13.69921875" customWidth="1"/>
    <col min="13" max="13" width="13.19921875" customWidth="1"/>
  </cols>
  <sheetData>
    <row r="1" spans="1:26" x14ac:dyDescent="0.3">
      <c r="H1" t="s">
        <v>47</v>
      </c>
    </row>
    <row r="2" spans="1:26" x14ac:dyDescent="0.3">
      <c r="B2" t="s">
        <v>36</v>
      </c>
      <c r="H2" t="s">
        <v>37</v>
      </c>
    </row>
    <row r="3" spans="1:26" x14ac:dyDescent="0.3">
      <c r="C3" t="s">
        <v>23</v>
      </c>
      <c r="D3" t="s">
        <v>24</v>
      </c>
      <c r="E3" t="s">
        <v>66</v>
      </c>
      <c r="F3" t="s">
        <v>25</v>
      </c>
      <c r="H3" t="s">
        <v>26</v>
      </c>
      <c r="I3" t="s">
        <v>29</v>
      </c>
      <c r="J3" t="s">
        <v>27</v>
      </c>
      <c r="K3" t="s">
        <v>28</v>
      </c>
      <c r="L3" t="s">
        <v>30</v>
      </c>
      <c r="M3" t="s">
        <v>31</v>
      </c>
      <c r="O3" t="s">
        <v>50</v>
      </c>
      <c r="P3" t="s">
        <v>51</v>
      </c>
      <c r="Q3" t="s">
        <v>52</v>
      </c>
      <c r="R3" t="s">
        <v>57</v>
      </c>
      <c r="S3" t="s">
        <v>58</v>
      </c>
      <c r="T3" t="s">
        <v>53</v>
      </c>
      <c r="U3" t="s">
        <v>54</v>
      </c>
      <c r="V3" t="s">
        <v>55</v>
      </c>
      <c r="W3" t="s">
        <v>59</v>
      </c>
      <c r="X3" t="s">
        <v>60</v>
      </c>
      <c r="Y3" t="s">
        <v>32</v>
      </c>
      <c r="Z3" t="s">
        <v>40</v>
      </c>
    </row>
    <row r="4" spans="1:26" x14ac:dyDescent="0.3">
      <c r="A4" t="s">
        <v>5</v>
      </c>
      <c r="B4" t="s">
        <v>6</v>
      </c>
      <c r="C4" s="2" t="s">
        <v>20</v>
      </c>
      <c r="D4" t="s">
        <v>45</v>
      </c>
      <c r="E4" t="s">
        <v>67</v>
      </c>
      <c r="F4" t="s">
        <v>34</v>
      </c>
      <c r="G4">
        <v>1</v>
      </c>
      <c r="H4">
        <v>67</v>
      </c>
      <c r="I4">
        <v>67</v>
      </c>
      <c r="J4" s="4">
        <v>4</v>
      </c>
      <c r="K4" s="4">
        <f>4/1.35</f>
        <v>2.9629629629629628</v>
      </c>
      <c r="L4" s="4">
        <v>5</v>
      </c>
      <c r="M4" s="4">
        <f>5/1.35</f>
        <v>3.7037037037037033</v>
      </c>
      <c r="O4" s="4">
        <v>4</v>
      </c>
      <c r="P4" s="4">
        <f>4/1.35</f>
        <v>2.9629629629629628</v>
      </c>
      <c r="Q4" s="4">
        <v>5</v>
      </c>
      <c r="R4" s="4">
        <f>5/1.35</f>
        <v>3.7037037037037033</v>
      </c>
      <c r="Y4" t="s">
        <v>35</v>
      </c>
      <c r="Z4" t="s">
        <v>41</v>
      </c>
    </row>
    <row r="5" spans="1:26" x14ac:dyDescent="0.3">
      <c r="A5" t="s">
        <v>0</v>
      </c>
      <c r="B5" t="s">
        <v>1</v>
      </c>
      <c r="C5" s="2" t="s">
        <v>18</v>
      </c>
      <c r="D5" t="s">
        <v>2</v>
      </c>
      <c r="F5" t="s">
        <v>34</v>
      </c>
      <c r="G5">
        <v>2</v>
      </c>
      <c r="H5">
        <v>26</v>
      </c>
      <c r="J5">
        <v>3.6</v>
      </c>
      <c r="K5">
        <v>1.6</v>
      </c>
    </row>
    <row r="6" spans="1:26" x14ac:dyDescent="0.3">
      <c r="A6" t="s">
        <v>3</v>
      </c>
      <c r="B6" t="s">
        <v>4</v>
      </c>
      <c r="C6" s="6" t="s">
        <v>21</v>
      </c>
      <c r="D6" t="s">
        <v>46</v>
      </c>
      <c r="E6" t="s">
        <v>67</v>
      </c>
      <c r="F6" t="s">
        <v>34</v>
      </c>
      <c r="G6">
        <v>3</v>
      </c>
      <c r="H6">
        <v>52</v>
      </c>
      <c r="I6">
        <v>53</v>
      </c>
      <c r="J6">
        <v>5.0999999999999996</v>
      </c>
      <c r="K6">
        <v>2.5</v>
      </c>
      <c r="L6">
        <v>7</v>
      </c>
      <c r="M6">
        <v>2.4</v>
      </c>
      <c r="Y6" t="s">
        <v>39</v>
      </c>
    </row>
    <row r="7" spans="1:26" ht="58" x14ac:dyDescent="0.3">
      <c r="A7" t="s">
        <v>7</v>
      </c>
      <c r="B7" t="s">
        <v>8</v>
      </c>
      <c r="C7" s="6" t="s">
        <v>19</v>
      </c>
      <c r="D7" t="s">
        <v>9</v>
      </c>
      <c r="E7" s="7" t="s">
        <v>65</v>
      </c>
      <c r="F7" t="s">
        <v>34</v>
      </c>
      <c r="G7">
        <v>4</v>
      </c>
      <c r="H7">
        <v>59</v>
      </c>
      <c r="I7">
        <v>60</v>
      </c>
      <c r="J7">
        <v>4.51</v>
      </c>
      <c r="K7">
        <v>2.2599999999999998</v>
      </c>
      <c r="L7">
        <v>5.16</v>
      </c>
      <c r="M7">
        <v>2.9</v>
      </c>
      <c r="N7" s="1"/>
      <c r="U7" s="1"/>
      <c r="W7" s="1"/>
      <c r="Y7" s="1">
        <v>0.41199999999999998</v>
      </c>
    </row>
    <row r="8" spans="1:26" x14ac:dyDescent="0.3">
      <c r="A8" t="s">
        <v>10</v>
      </c>
      <c r="B8" t="s">
        <v>11</v>
      </c>
      <c r="C8" s="2" t="s">
        <v>16</v>
      </c>
      <c r="D8" t="s">
        <v>2</v>
      </c>
      <c r="E8" t="s">
        <v>64</v>
      </c>
      <c r="F8" t="s">
        <v>34</v>
      </c>
      <c r="G8">
        <v>5</v>
      </c>
      <c r="H8">
        <v>176</v>
      </c>
      <c r="I8">
        <v>175</v>
      </c>
      <c r="J8">
        <v>2.1800000000000002</v>
      </c>
      <c r="K8">
        <v>2.8</v>
      </c>
      <c r="L8">
        <v>3.55</v>
      </c>
      <c r="M8">
        <v>3.07</v>
      </c>
      <c r="Y8" t="s">
        <v>33</v>
      </c>
    </row>
    <row r="9" spans="1:26" x14ac:dyDescent="0.3">
      <c r="A9" t="s">
        <v>12</v>
      </c>
      <c r="B9" t="s">
        <v>13</v>
      </c>
      <c r="C9" s="4" t="s">
        <v>17</v>
      </c>
      <c r="D9" t="s">
        <v>62</v>
      </c>
      <c r="E9" t="s">
        <v>67</v>
      </c>
      <c r="F9" t="s">
        <v>34</v>
      </c>
    </row>
    <row r="10" spans="1:26" x14ac:dyDescent="0.3">
      <c r="A10" t="s">
        <v>14</v>
      </c>
      <c r="B10" t="s">
        <v>15</v>
      </c>
      <c r="C10" s="4" t="s">
        <v>22</v>
      </c>
      <c r="D10" t="s">
        <v>56</v>
      </c>
      <c r="E10" t="s">
        <v>63</v>
      </c>
      <c r="F10" t="s">
        <v>42</v>
      </c>
      <c r="J10" s="3"/>
      <c r="K10" s="3"/>
    </row>
    <row r="11" spans="1:26" x14ac:dyDescent="0.3">
      <c r="H11" t="s">
        <v>38</v>
      </c>
    </row>
    <row r="12" spans="1:26" x14ac:dyDescent="0.3">
      <c r="H12" t="s">
        <v>26</v>
      </c>
      <c r="I12" t="s">
        <v>29</v>
      </c>
      <c r="J12" t="s">
        <v>27</v>
      </c>
      <c r="K12" t="s">
        <v>28</v>
      </c>
      <c r="L12" t="s">
        <v>30</v>
      </c>
      <c r="M12" t="s">
        <v>31</v>
      </c>
      <c r="Y12" t="s">
        <v>32</v>
      </c>
      <c r="Z12" t="s">
        <v>40</v>
      </c>
    </row>
    <row r="15" spans="1:26" x14ac:dyDescent="0.3">
      <c r="G15">
        <v>3</v>
      </c>
      <c r="H15">
        <v>52</v>
      </c>
      <c r="I15">
        <v>53</v>
      </c>
      <c r="J15">
        <v>6.2</v>
      </c>
      <c r="K15">
        <v>2.2000000000000002</v>
      </c>
      <c r="L15">
        <v>7</v>
      </c>
      <c r="M15">
        <v>2.4</v>
      </c>
      <c r="Y15" t="s">
        <v>39</v>
      </c>
    </row>
    <row r="16" spans="1:26" x14ac:dyDescent="0.3">
      <c r="G16">
        <v>4</v>
      </c>
      <c r="H16">
        <v>58</v>
      </c>
      <c r="I16">
        <v>60</v>
      </c>
      <c r="J16">
        <v>4.8899999999999997</v>
      </c>
      <c r="K16">
        <v>2.8</v>
      </c>
      <c r="L16">
        <v>5.16</v>
      </c>
      <c r="M16">
        <v>2.9</v>
      </c>
      <c r="N16" s="1"/>
      <c r="U16" s="1"/>
      <c r="W16" s="1"/>
      <c r="Y16" s="1">
        <v>0.41199999999999998</v>
      </c>
    </row>
    <row r="18" spans="7:26" x14ac:dyDescent="0.3">
      <c r="G18">
        <v>6</v>
      </c>
      <c r="H18">
        <v>10</v>
      </c>
      <c r="I18">
        <v>9</v>
      </c>
      <c r="J18" s="4">
        <v>3</v>
      </c>
      <c r="K18" s="4">
        <f>3/1.35</f>
        <v>2.2222222222222219</v>
      </c>
      <c r="L18" s="4">
        <v>3</v>
      </c>
      <c r="M18" s="4">
        <f>4/1.35</f>
        <v>2.9629629629629628</v>
      </c>
      <c r="Y18">
        <v>0.66100000000000003</v>
      </c>
      <c r="Z18" t="s">
        <v>41</v>
      </c>
    </row>
    <row r="19" spans="7:26" x14ac:dyDescent="0.3">
      <c r="G19">
        <v>7</v>
      </c>
      <c r="H19">
        <v>28</v>
      </c>
      <c r="I19">
        <v>29</v>
      </c>
      <c r="J19" s="4">
        <v>2.4500000000000002</v>
      </c>
      <c r="K19" s="4">
        <f>3.325/1.35</f>
        <v>2.4629629629629628</v>
      </c>
      <c r="L19" s="4">
        <v>4.2</v>
      </c>
      <c r="M19" s="4">
        <f>5.2/1.35</f>
        <v>3.8518518518518516</v>
      </c>
      <c r="Y19">
        <v>0.47</v>
      </c>
      <c r="Z19" t="s">
        <v>41</v>
      </c>
    </row>
    <row r="20" spans="7:26" x14ac:dyDescent="0.3">
      <c r="G20" t="s">
        <v>44</v>
      </c>
    </row>
    <row r="21" spans="7:26" x14ac:dyDescent="0.3">
      <c r="G21" s="5" t="s">
        <v>43</v>
      </c>
    </row>
    <row r="23" spans="7:26" x14ac:dyDescent="0.3">
      <c r="H23" t="s">
        <v>48</v>
      </c>
    </row>
    <row r="24" spans="7:26" x14ac:dyDescent="0.3">
      <c r="H24" t="s">
        <v>38</v>
      </c>
    </row>
    <row r="26" spans="7:26" x14ac:dyDescent="0.3">
      <c r="G26">
        <v>4</v>
      </c>
      <c r="H26">
        <v>60</v>
      </c>
      <c r="I26">
        <v>60</v>
      </c>
      <c r="J26">
        <v>42.72</v>
      </c>
      <c r="K26">
        <v>7.69</v>
      </c>
      <c r="L26">
        <v>41.97</v>
      </c>
      <c r="M26">
        <v>7.87</v>
      </c>
      <c r="N26" s="1"/>
      <c r="Y26" s="1">
        <v>0.85</v>
      </c>
    </row>
    <row r="27" spans="7:26" x14ac:dyDescent="0.3">
      <c r="G27">
        <v>6</v>
      </c>
      <c r="H27">
        <v>9</v>
      </c>
      <c r="I27">
        <v>10</v>
      </c>
      <c r="O27">
        <v>29</v>
      </c>
      <c r="P27">
        <v>21</v>
      </c>
      <c r="Q27" t="s">
        <v>49</v>
      </c>
      <c r="T27">
        <v>35</v>
      </c>
      <c r="U27">
        <v>28</v>
      </c>
      <c r="V27">
        <v>41.5</v>
      </c>
      <c r="Y27">
        <v>0.156</v>
      </c>
    </row>
    <row r="30" spans="7:26" x14ac:dyDescent="0.3">
      <c r="H30" t="s">
        <v>61</v>
      </c>
    </row>
    <row r="31" spans="7:26" x14ac:dyDescent="0.3">
      <c r="H31" t="s">
        <v>38</v>
      </c>
    </row>
    <row r="33" spans="7:25" x14ac:dyDescent="0.3">
      <c r="G33">
        <v>4</v>
      </c>
      <c r="H33">
        <v>60</v>
      </c>
      <c r="I33">
        <v>60</v>
      </c>
      <c r="J33">
        <v>5.15</v>
      </c>
      <c r="K33">
        <v>8.76</v>
      </c>
      <c r="L33">
        <v>4.12</v>
      </c>
      <c r="M33">
        <v>8.6300000000000008</v>
      </c>
    </row>
    <row r="34" spans="7:25" x14ac:dyDescent="0.3">
      <c r="G34">
        <v>6</v>
      </c>
      <c r="H34">
        <v>9</v>
      </c>
      <c r="I34">
        <v>10</v>
      </c>
      <c r="O34">
        <v>1</v>
      </c>
    </row>
    <row r="35" spans="7:25" x14ac:dyDescent="0.3">
      <c r="G35">
        <v>7</v>
      </c>
      <c r="H35">
        <v>28</v>
      </c>
      <c r="I35">
        <v>29</v>
      </c>
      <c r="O35">
        <v>20</v>
      </c>
      <c r="P35">
        <v>11.38</v>
      </c>
      <c r="Q35">
        <v>28.63</v>
      </c>
      <c r="R35">
        <v>0</v>
      </c>
      <c r="S35">
        <v>85</v>
      </c>
      <c r="T35">
        <v>24</v>
      </c>
      <c r="U35">
        <v>-9.5</v>
      </c>
      <c r="V35">
        <v>57.5</v>
      </c>
      <c r="W35">
        <v>0</v>
      </c>
      <c r="X35">
        <v>100</v>
      </c>
      <c r="Y35">
        <v>0.7</v>
      </c>
    </row>
  </sheetData>
  <phoneticPr fontId="1" type="noConversion"/>
  <hyperlinks>
    <hyperlink ref="G21" r:id="rId1" xr:uid="{DDB202AE-D714-433A-AD9A-1130E155699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yiu charles</dc:creator>
  <cp:lastModifiedBy>yiu charles</cp:lastModifiedBy>
  <dcterms:created xsi:type="dcterms:W3CDTF">2015-06-05T18:19:34Z</dcterms:created>
  <dcterms:modified xsi:type="dcterms:W3CDTF">2021-05-27T07:09:21Z</dcterms:modified>
</cp:coreProperties>
</file>